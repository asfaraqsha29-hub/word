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024it151\Desktop\2024it151\"/>
    </mc:Choice>
  </mc:AlternateContent>
  <xr:revisionPtr revIDLastSave="0" documentId="13_ncr:1_{93B5DB59-C70C-4F0E-9C3D-4938E1C97D9F}" xr6:coauthVersionLast="47" xr6:coauthVersionMax="47" xr10:uidLastSave="{00000000-0000-0000-0000-000000000000}"/>
  <bookViews>
    <workbookView xWindow="-120" yWindow="-120" windowWidth="24240" windowHeight="13020" xr2:uid="{5380C278-6112-4977-99FC-302B896C3D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G4" i="1"/>
  <c r="H4" i="1" s="1"/>
  <c r="I4" i="1" s="1"/>
  <c r="G5" i="1"/>
  <c r="H5" i="1" s="1"/>
  <c r="I5" i="1" s="1"/>
  <c r="G6" i="1"/>
  <c r="H6" i="1" s="1"/>
  <c r="I6" i="1" s="1"/>
  <c r="G7" i="1"/>
  <c r="H7" i="1" s="1"/>
  <c r="I7" i="1" s="1"/>
  <c r="G8" i="1"/>
  <c r="H8" i="1" s="1"/>
  <c r="I8" i="1" s="1"/>
  <c r="G9" i="1"/>
  <c r="H9" i="1" s="1"/>
  <c r="I9" i="1" s="1"/>
  <c r="F5" i="1"/>
  <c r="F6" i="1"/>
  <c r="F7" i="1"/>
  <c r="F8" i="1"/>
  <c r="F9" i="1"/>
  <c r="F4" i="1"/>
</calcChain>
</file>

<file path=xl/sharedStrings.xml><?xml version="1.0" encoding="utf-8"?>
<sst xmlns="http://schemas.openxmlformats.org/spreadsheetml/2006/main" count="18" uniqueCount="18">
  <si>
    <t>Result Sheet- Grade 12</t>
  </si>
  <si>
    <t>Dambulla Madya Maha Vidyalaya, Dambulla</t>
  </si>
  <si>
    <t>No</t>
  </si>
  <si>
    <t>Index No</t>
  </si>
  <si>
    <t>Sub 1</t>
  </si>
  <si>
    <t>Sub 2</t>
  </si>
  <si>
    <t>Sub 3</t>
  </si>
  <si>
    <t>Total</t>
  </si>
  <si>
    <t>Avg 1</t>
  </si>
  <si>
    <t>Avg2</t>
  </si>
  <si>
    <t>Grade</t>
  </si>
  <si>
    <t>Rank</t>
  </si>
  <si>
    <t>G12/01</t>
  </si>
  <si>
    <t>G12/06</t>
  </si>
  <si>
    <t>G12/05</t>
  </si>
  <si>
    <t>G12/04</t>
  </si>
  <si>
    <t>G12/03</t>
  </si>
  <si>
    <t>G12/02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</si>
</sst>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FINAL RESULT SHEET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Sheet1!$B$4:$B$9</c:f>
              <c:strCache>
                <c:ptCount val="6"/>
                <c:pt idx="0">
                  <c:v>G12/01</c:v>
                </c:pt>
                <c:pt idx="1">
                  <c:v>G12/02</c:v>
                </c:pt>
                <c:pt idx="2">
                  <c:v>G12/03</c:v>
                </c:pt>
                <c:pt idx="3">
                  <c:v>G12/04</c:v>
                </c:pt>
                <c:pt idx="4">
                  <c:v>G12/05</c:v>
                </c:pt>
                <c:pt idx="5">
                  <c:v>G12/06</c:v>
                </c:pt>
              </c:strCache>
            </c:strRef>
          </c:cat>
          <c:val>
            <c:numRef>
              <c:f>Sheet1!$G$4:$G$9</c:f>
              <c:numCache>
                <c:formatCode>General</c:formatCode>
                <c:ptCount val="6"/>
                <c:pt idx="0">
                  <c:v>59.333333333333336</c:v>
                </c:pt>
                <c:pt idx="1">
                  <c:v>57</c:v>
                </c:pt>
                <c:pt idx="2">
                  <c:v>67.333333333333329</c:v>
                </c:pt>
                <c:pt idx="3">
                  <c:v>77</c:v>
                </c:pt>
                <c:pt idx="4">
                  <c:v>39</c:v>
                </c:pt>
                <c:pt idx="5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0A-479F-A70C-37FD3D36F8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5553679"/>
        <c:axId val="1375554639"/>
      </c:barChart>
      <c:catAx>
        <c:axId val="1375553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STUDENTS</a:t>
                </a:r>
                <a:r>
                  <a:rPr lang="en-US" baseline="0"/>
                  <a:t> INDEX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554639"/>
        <c:crosses val="autoZero"/>
        <c:auto val="1"/>
        <c:lblAlgn val="ctr"/>
        <c:lblOffset val="100"/>
        <c:noMultiLvlLbl val="0"/>
      </c:catAx>
      <c:valAx>
        <c:axId val="1375554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</a:t>
                </a:r>
                <a:r>
                  <a:rPr lang="en-US" baseline="0"/>
                  <a:t> MARKS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553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innerShdw blurRad="63500" dist="50800">
        <a:prstClr val="black">
          <a:alpha val="50000"/>
        </a:prstClr>
      </a:innerShdw>
    </a:effectLst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704850</xdr:colOff>
      <xdr:row>11</xdr:row>
      <xdr:rowOff>185737</xdr:rowOff>
    </xdr:from>
    <xdr:to>
      <xdr:col>9</xdr:col>
      <xdr:colOff>971550</xdr:colOff>
      <xdr:row>26</xdr:row>
      <xdr:rowOff>71437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F21E4DE-D84E-9ADC-6418-68D6A19733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E1CCB-5BB0-45C6-8EBB-FC3A8A9FE637}">
  <dimension ref="A1:J9"/>
  <sheetViews>
    <sheetView tabSelected="1" workbookViewId="0">
      <selection activeCell="L12" sqref="L12"/>
    </sheetView>
  </sheetViews>
  <sheetFormatPr defaultRowHeight="15" x14ac:dyDescent="0.25"/>
  <cols>
    <col min="6" max="6" width="17.140625" customWidth="1"/>
    <col min="7" max="7" width="14.7109375" customWidth="1"/>
    <col min="8" max="8" width="16.85546875" customWidth="1"/>
    <col min="9" max="9" width="15.85546875" customWidth="1"/>
    <col min="10" max="10" width="17.42578125" customWidth="1"/>
  </cols>
  <sheetData>
    <row r="1" spans="1:10" ht="21" x14ac:dyDescent="0.35">
      <c r="A1" s="2" t="s">
        <v>0</v>
      </c>
      <c r="B1" s="2"/>
      <c r="C1" s="2"/>
      <c r="D1" s="2"/>
      <c r="E1" s="2"/>
      <c r="F1" s="2"/>
      <c r="G1" s="2"/>
      <c r="H1" s="2"/>
    </row>
    <row r="2" spans="1:10" ht="18.75" x14ac:dyDescent="0.3">
      <c r="A2" s="3" t="s">
        <v>1</v>
      </c>
      <c r="B2" s="1"/>
      <c r="C2" s="1"/>
      <c r="D2" s="1"/>
      <c r="E2" s="1"/>
      <c r="F2" s="1"/>
      <c r="G2" s="1"/>
      <c r="H2" s="1"/>
    </row>
    <row r="3" spans="1:10" x14ac:dyDescent="0.2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</row>
    <row r="4" spans="1:10" x14ac:dyDescent="0.25">
      <c r="A4" s="4">
        <v>1</v>
      </c>
      <c r="B4" s="4" t="s">
        <v>12</v>
      </c>
      <c r="C4" s="4">
        <v>65</v>
      </c>
      <c r="D4" s="4">
        <v>35</v>
      </c>
      <c r="E4" s="4">
        <v>78</v>
      </c>
      <c r="F4" s="4">
        <f>SUM(C4,D4,E4)</f>
        <v>178</v>
      </c>
      <c r="G4" s="4">
        <f>AVERAGE(C4,D4,E4)</f>
        <v>59.333333333333336</v>
      </c>
      <c r="H4" s="4">
        <f>IF(AND(G4&lt;40,C4&gt;40,D4&gt;25,E4&gt;25),G4+5%*G4,G4)</f>
        <v>59.333333333333336</v>
      </c>
      <c r="I4" s="4" t="str">
        <f>IF(AND(H4&gt;=75),"A",IF(AND(H4&gt;=65),"B",IF(AND(H4&gt;=55),"C",IF(AND(H4&gt;=40),"S","F"))))</f>
        <v>C</v>
      </c>
      <c r="J4" s="4">
        <f>RANK($F$4,$F$4:$F$9)</f>
        <v>3</v>
      </c>
    </row>
    <row r="5" spans="1:10" x14ac:dyDescent="0.25">
      <c r="A5" s="4">
        <v>2</v>
      </c>
      <c r="B5" s="4" t="s">
        <v>17</v>
      </c>
      <c r="C5" s="4">
        <v>34</v>
      </c>
      <c r="D5" s="4">
        <v>65</v>
      </c>
      <c r="E5" s="4">
        <v>72</v>
      </c>
      <c r="F5" s="4">
        <f t="shared" ref="F5:F9" si="0">SUM(C5,D5,E5)</f>
        <v>171</v>
      </c>
      <c r="G5" s="4">
        <f t="shared" ref="G5:G9" si="1">AVERAGE(C5,D5,E5)</f>
        <v>57</v>
      </c>
      <c r="H5" s="4">
        <f t="shared" ref="H5:H9" si="2">IF(AND(G5&lt;40,C5&gt;40,D5&gt;25,E5&gt;25),G5+5%*G5,G5)</f>
        <v>57</v>
      </c>
      <c r="I5" s="4" t="str">
        <f t="shared" ref="I5:I9" si="3">IF(AND(H5&gt;=75),"A",IF(AND(H5&gt;=65),"B",IF(AND(H5&gt;=55),"C",IF(AND(H5&gt;=40),"S","F"))))</f>
        <v>C</v>
      </c>
      <c r="J5" s="4">
        <f t="shared" ref="J5:J9" si="4">RANK($F$4,$F$4:$F$9)</f>
        <v>3</v>
      </c>
    </row>
    <row r="6" spans="1:10" x14ac:dyDescent="0.25">
      <c r="A6" s="4">
        <v>3</v>
      </c>
      <c r="B6" s="4" t="s">
        <v>16</v>
      </c>
      <c r="C6" s="4">
        <v>61</v>
      </c>
      <c r="D6" s="4">
        <v>82</v>
      </c>
      <c r="E6" s="4">
        <v>59</v>
      </c>
      <c r="F6" s="4">
        <f t="shared" si="0"/>
        <v>202</v>
      </c>
      <c r="G6" s="4">
        <f t="shared" si="1"/>
        <v>67.333333333333329</v>
      </c>
      <c r="H6" s="4">
        <f t="shared" si="2"/>
        <v>67.333333333333329</v>
      </c>
      <c r="I6" s="4" t="str">
        <f t="shared" si="3"/>
        <v>B</v>
      </c>
      <c r="J6" s="4">
        <f t="shared" si="4"/>
        <v>3</v>
      </c>
    </row>
    <row r="7" spans="1:10" x14ac:dyDescent="0.25">
      <c r="A7" s="4">
        <v>4</v>
      </c>
      <c r="B7" s="4" t="s">
        <v>15</v>
      </c>
      <c r="C7" s="4">
        <v>68</v>
      </c>
      <c r="D7" s="4">
        <v>91</v>
      </c>
      <c r="E7" s="4">
        <v>72</v>
      </c>
      <c r="F7" s="4">
        <f t="shared" si="0"/>
        <v>231</v>
      </c>
      <c r="G7" s="4">
        <f t="shared" si="1"/>
        <v>77</v>
      </c>
      <c r="H7" s="4">
        <f t="shared" si="2"/>
        <v>77</v>
      </c>
      <c r="I7" s="4" t="str">
        <f t="shared" si="3"/>
        <v>A</v>
      </c>
      <c r="J7" s="4">
        <f t="shared" si="4"/>
        <v>3</v>
      </c>
    </row>
    <row r="8" spans="1:10" x14ac:dyDescent="0.25">
      <c r="A8" s="4">
        <v>5</v>
      </c>
      <c r="B8" s="4" t="s">
        <v>14</v>
      </c>
      <c r="C8" s="4">
        <v>41</v>
      </c>
      <c r="D8" s="4">
        <v>26</v>
      </c>
      <c r="E8" s="4">
        <v>50</v>
      </c>
      <c r="F8" s="4">
        <f t="shared" si="0"/>
        <v>117</v>
      </c>
      <c r="G8" s="4">
        <f t="shared" si="1"/>
        <v>39</v>
      </c>
      <c r="H8" s="4">
        <f t="shared" si="2"/>
        <v>40.950000000000003</v>
      </c>
      <c r="I8" s="4" t="str">
        <f t="shared" si="3"/>
        <v>S</v>
      </c>
      <c r="J8" s="4">
        <f t="shared" si="4"/>
        <v>3</v>
      </c>
    </row>
    <row r="9" spans="1:10" x14ac:dyDescent="0.25">
      <c r="A9" s="4">
        <v>6</v>
      </c>
      <c r="B9" s="4" t="s">
        <v>13</v>
      </c>
      <c r="C9" s="4">
        <v>42</v>
      </c>
      <c r="D9" s="4">
        <v>24</v>
      </c>
      <c r="E9" s="4">
        <v>51</v>
      </c>
      <c r="F9" s="4">
        <f t="shared" si="0"/>
        <v>117</v>
      </c>
      <c r="G9" s="4">
        <f t="shared" si="1"/>
        <v>39</v>
      </c>
      <c r="H9" s="4">
        <f t="shared" si="2"/>
        <v>39</v>
      </c>
      <c r="I9" s="4" t="str">
        <f t="shared" si="3"/>
        <v>F</v>
      </c>
      <c r="J9" s="4">
        <f t="shared" si="4"/>
        <v>3</v>
      </c>
    </row>
  </sheetData>
  <mergeCells count="2">
    <mergeCell ref="A1:H1"/>
    <mergeCell ref="A2:H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2024IT151</dc:creator>
  <cp:lastModifiedBy>2024IT151</cp:lastModifiedBy>
  <dcterms:created xsi:type="dcterms:W3CDTF">2026-06-03T03:22:08Z</dcterms:created>
  <dcterms:modified xsi:type="dcterms:W3CDTF">2026-06-03T04:50:06Z</dcterms:modified>
</cp:coreProperties>
</file>